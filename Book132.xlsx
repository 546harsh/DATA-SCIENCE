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69c74fb06582ff1/Desktop/"/>
    </mc:Choice>
  </mc:AlternateContent>
  <xr:revisionPtr revIDLastSave="0" documentId="8_{4B8C7185-7689-4C68-95DD-A9B60DE3EC87}" xr6:coauthVersionLast="47" xr6:coauthVersionMax="47" xr10:uidLastSave="{00000000-0000-0000-0000-000000000000}"/>
  <bookViews>
    <workbookView xWindow="-108" yWindow="-108" windowWidth="23256" windowHeight="12456" xr2:uid="{1EFDAED2-481F-45A0-88B9-7E531F72B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O47" i="1"/>
  <c r="O35" i="1"/>
  <c r="O34" i="1"/>
  <c r="O33" i="1"/>
  <c r="O24" i="1"/>
  <c r="M23" i="1"/>
  <c r="M22" i="1"/>
  <c r="N16" i="1"/>
  <c r="N15" i="1"/>
  <c r="N14" i="1"/>
  <c r="N13" i="1"/>
</calcChain>
</file>

<file path=xl/sharedStrings.xml><?xml version="1.0" encoding="utf-8"?>
<sst xmlns="http://schemas.openxmlformats.org/spreadsheetml/2006/main" count="91" uniqueCount="59">
  <si>
    <t>Patient_ID</t>
  </si>
  <si>
    <t>Name</t>
  </si>
  <si>
    <t>Age</t>
  </si>
  <si>
    <t>Gender</t>
  </si>
  <si>
    <t>Disease</t>
  </si>
  <si>
    <t>Doctor</t>
  </si>
  <si>
    <t>Fees</t>
  </si>
  <si>
    <t>Visit_Date</t>
  </si>
  <si>
    <t>City</t>
  </si>
  <si>
    <t>P101</t>
  </si>
  <si>
    <t>Amit Sharma</t>
  </si>
  <si>
    <t>M</t>
  </si>
  <si>
    <t>Fever</t>
  </si>
  <si>
    <t>Dr. Mehta</t>
  </si>
  <si>
    <t>Delhi</t>
  </si>
  <si>
    <t>P102</t>
  </si>
  <si>
    <t>Riya Singh</t>
  </si>
  <si>
    <t>F</t>
  </si>
  <si>
    <t>Diabetes</t>
  </si>
  <si>
    <t>Dr. Khan</t>
  </si>
  <si>
    <t>Mumbai</t>
  </si>
  <si>
    <t>P103</t>
  </si>
  <si>
    <t>Raj Verma</t>
  </si>
  <si>
    <t>BP</t>
  </si>
  <si>
    <t>P104</t>
  </si>
  <si>
    <t>Neha Gupta</t>
  </si>
  <si>
    <t>Dr. Sharma</t>
  </si>
  <si>
    <t>Jaipur</t>
  </si>
  <si>
    <t>P105</t>
  </si>
  <si>
    <t>Karan Patel</t>
  </si>
  <si>
    <t>P106</t>
  </si>
  <si>
    <t>Simran Kaur</t>
  </si>
  <si>
    <t>P107</t>
  </si>
  <si>
    <t>Mohit Jain</t>
  </si>
  <si>
    <t>P108</t>
  </si>
  <si>
    <t>Pooja Yadav</t>
  </si>
  <si>
    <t>q1-</t>
  </si>
  <si>
    <t>how many pateints have fever</t>
  </si>
  <si>
    <t>q2-</t>
  </si>
  <si>
    <t>how many patients belongs to delhi</t>
  </si>
  <si>
    <t>q3-</t>
  </si>
  <si>
    <t>how many female pateints have diabeties</t>
  </si>
  <si>
    <t>q4-</t>
  </si>
  <si>
    <t>how many pateints visited on 2-4-2026</t>
  </si>
  <si>
    <t>Counting and Condition</t>
  </si>
  <si>
    <t>Calculations</t>
  </si>
  <si>
    <t>total fees collected by dr. Khan</t>
  </si>
  <si>
    <t>total fees from delhi patients</t>
  </si>
  <si>
    <t>total fees from diabetes patients from mumbai</t>
  </si>
  <si>
    <t>total fees collected after 3-4-2026</t>
  </si>
  <si>
    <t>lookup and position</t>
  </si>
  <si>
    <t>find the doctor assigned to patient_id P106</t>
  </si>
  <si>
    <t>find the fees paid by mohit jain</t>
  </si>
  <si>
    <t>find the total no bp in the disease column</t>
  </si>
  <si>
    <t>Date Handling</t>
  </si>
  <si>
    <t>Exact only the date from visit date</t>
  </si>
  <si>
    <t>Identify pateint who visited after 3-4-2026</t>
  </si>
  <si>
    <t>How many patient visited in april</t>
  </si>
  <si>
    <t>Text Manupulation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</si>
</sst>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26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/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4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E46B7328-7381-474D-9367-30334A69840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B767F-CC64-43C1-B587-5B741E4EE8CE}">
  <dimension ref="A1:Q65"/>
  <sheetViews>
    <sheetView tabSelected="1" topLeftCell="A47" workbookViewId="0">
      <selection activeCell="H60" sqref="H60:O65"/>
    </sheetView>
  </sheetViews>
  <sheetFormatPr defaultRowHeight="14.4" x14ac:dyDescent="0.3"/>
  <cols>
    <col min="14" max="14" width="10" bestFit="1" customWidth="1"/>
    <col min="15" max="15" width="10.21875" style="2" bestFit="1" customWidth="1"/>
    <col min="17" max="17" width="12" bestFit="1" customWidth="1"/>
  </cols>
  <sheetData>
    <row r="1" spans="1:15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15" ht="28.8" x14ac:dyDescent="0.3">
      <c r="A2" s="1" t="s">
        <v>9</v>
      </c>
      <c r="B2" s="1" t="s">
        <v>10</v>
      </c>
      <c r="C2" s="1">
        <v>34</v>
      </c>
      <c r="D2" s="1" t="s">
        <v>11</v>
      </c>
      <c r="E2" s="1" t="s">
        <v>12</v>
      </c>
      <c r="F2" s="1" t="s">
        <v>13</v>
      </c>
      <c r="G2" s="1">
        <v>500</v>
      </c>
      <c r="H2" s="4">
        <v>46113</v>
      </c>
      <c r="I2" s="1" t="s">
        <v>14</v>
      </c>
      <c r="J2">
        <f>DAY(H2)</f>
        <v>1</v>
      </c>
    </row>
    <row r="3" spans="1:15" ht="28.8" x14ac:dyDescent="0.3">
      <c r="A3" s="1" t="s">
        <v>15</v>
      </c>
      <c r="B3" s="1" t="s">
        <v>16</v>
      </c>
      <c r="C3" s="1">
        <v>28</v>
      </c>
      <c r="D3" s="1" t="s">
        <v>17</v>
      </c>
      <c r="E3" s="1" t="s">
        <v>18</v>
      </c>
      <c r="F3" s="1" t="s">
        <v>19</v>
      </c>
      <c r="G3" s="1">
        <v>800</v>
      </c>
      <c r="H3" s="4">
        <v>46114</v>
      </c>
      <c r="I3" s="1" t="s">
        <v>20</v>
      </c>
      <c r="J3" s="2"/>
    </row>
    <row r="4" spans="1:15" ht="28.8" x14ac:dyDescent="0.3">
      <c r="A4" s="1" t="s">
        <v>21</v>
      </c>
      <c r="B4" s="1" t="s">
        <v>22</v>
      </c>
      <c r="C4" s="1">
        <v>45</v>
      </c>
      <c r="D4" s="1" t="s">
        <v>11</v>
      </c>
      <c r="E4" s="1" t="s">
        <v>23</v>
      </c>
      <c r="F4" s="1" t="s">
        <v>13</v>
      </c>
      <c r="G4" s="1">
        <v>700</v>
      </c>
      <c r="H4" s="4">
        <v>46114</v>
      </c>
      <c r="I4" s="1" t="s">
        <v>14</v>
      </c>
      <c r="J4" s="2"/>
    </row>
    <row r="5" spans="1:15" ht="28.8" x14ac:dyDescent="0.3">
      <c r="A5" s="1" t="s">
        <v>24</v>
      </c>
      <c r="B5" s="1" t="s">
        <v>25</v>
      </c>
      <c r="C5" s="1">
        <v>30</v>
      </c>
      <c r="D5" s="1" t="s">
        <v>17</v>
      </c>
      <c r="E5" s="1" t="s">
        <v>12</v>
      </c>
      <c r="F5" s="1" t="s">
        <v>26</v>
      </c>
      <c r="G5" s="1">
        <v>400</v>
      </c>
      <c r="H5" s="4">
        <v>46115</v>
      </c>
      <c r="I5" s="1" t="s">
        <v>27</v>
      </c>
      <c r="J5" s="2"/>
    </row>
    <row r="6" spans="1:15" ht="28.8" x14ac:dyDescent="0.3">
      <c r="A6" s="1" t="s">
        <v>28</v>
      </c>
      <c r="B6" s="1" t="s">
        <v>29</v>
      </c>
      <c r="C6" s="1">
        <v>50</v>
      </c>
      <c r="D6" s="1" t="s">
        <v>11</v>
      </c>
      <c r="E6" s="1" t="s">
        <v>18</v>
      </c>
      <c r="F6" s="1" t="s">
        <v>19</v>
      </c>
      <c r="G6" s="1">
        <v>900</v>
      </c>
      <c r="H6" s="4">
        <v>46115</v>
      </c>
      <c r="I6" s="1" t="s">
        <v>20</v>
      </c>
      <c r="J6" s="2"/>
    </row>
    <row r="7" spans="1:15" ht="28.8" x14ac:dyDescent="0.3">
      <c r="A7" s="1" t="s">
        <v>30</v>
      </c>
      <c r="B7" s="1" t="s">
        <v>31</v>
      </c>
      <c r="C7" s="1">
        <v>38</v>
      </c>
      <c r="D7" s="1" t="s">
        <v>17</v>
      </c>
      <c r="E7" s="1" t="s">
        <v>23</v>
      </c>
      <c r="F7" s="1" t="s">
        <v>26</v>
      </c>
      <c r="G7" s="1">
        <v>600</v>
      </c>
      <c r="H7" s="4">
        <v>46116</v>
      </c>
      <c r="I7" s="1" t="s">
        <v>14</v>
      </c>
      <c r="J7" s="2"/>
    </row>
    <row r="8" spans="1:15" x14ac:dyDescent="0.3">
      <c r="A8" s="1" t="s">
        <v>32</v>
      </c>
      <c r="B8" s="1" t="s">
        <v>33</v>
      </c>
      <c r="C8" s="1">
        <v>29</v>
      </c>
      <c r="D8" s="1" t="s">
        <v>11</v>
      </c>
      <c r="E8" s="1" t="s">
        <v>12</v>
      </c>
      <c r="F8" s="1" t="s">
        <v>13</v>
      </c>
      <c r="G8" s="1">
        <v>450</v>
      </c>
      <c r="H8" s="4">
        <v>46116</v>
      </c>
      <c r="I8" s="1" t="s">
        <v>27</v>
      </c>
      <c r="J8" s="2"/>
    </row>
    <row r="9" spans="1:15" ht="28.8" x14ac:dyDescent="0.3">
      <c r="A9" s="1" t="s">
        <v>34</v>
      </c>
      <c r="B9" s="1" t="s">
        <v>35</v>
      </c>
      <c r="C9" s="1">
        <v>41</v>
      </c>
      <c r="D9" s="1" t="s">
        <v>17</v>
      </c>
      <c r="E9" s="1" t="s">
        <v>18</v>
      </c>
      <c r="F9" s="1" t="s">
        <v>19</v>
      </c>
      <c r="G9" s="1">
        <v>850</v>
      </c>
      <c r="H9" s="4">
        <v>46117</v>
      </c>
      <c r="I9" s="1" t="s">
        <v>14</v>
      </c>
      <c r="J9" s="2"/>
    </row>
    <row r="10" spans="1:15" x14ac:dyDescent="0.3">
      <c r="I10" s="13" t="s">
        <v>44</v>
      </c>
      <c r="J10" s="14"/>
      <c r="K10" s="14"/>
      <c r="L10" s="14"/>
      <c r="M10" s="14"/>
      <c r="N10" s="14"/>
      <c r="O10" s="22"/>
    </row>
    <row r="11" spans="1:15" x14ac:dyDescent="0.3">
      <c r="I11" s="14"/>
      <c r="J11" s="14"/>
      <c r="K11" s="14"/>
      <c r="L11" s="14"/>
      <c r="M11" s="14"/>
      <c r="N11" s="14"/>
      <c r="O11" s="22"/>
    </row>
    <row r="13" spans="1:15" x14ac:dyDescent="0.3">
      <c r="I13" s="7" t="s">
        <v>36</v>
      </c>
      <c r="J13" s="8" t="s">
        <v>37</v>
      </c>
      <c r="K13" s="8"/>
      <c r="L13" s="8"/>
      <c r="M13" s="9"/>
      <c r="N13" s="7">
        <f>COUNTIF(E2:E9,"Fever")</f>
        <v>3</v>
      </c>
      <c r="O13" s="23"/>
    </row>
    <row r="14" spans="1:15" x14ac:dyDescent="0.3">
      <c r="I14" s="7" t="s">
        <v>38</v>
      </c>
      <c r="J14" s="10" t="s">
        <v>39</v>
      </c>
      <c r="K14" s="10"/>
      <c r="L14" s="10"/>
      <c r="M14" s="10"/>
      <c r="N14" s="7">
        <f>COUNTIF(I1:I9,"Delhi")</f>
        <v>4</v>
      </c>
      <c r="O14" s="23"/>
    </row>
    <row r="15" spans="1:15" x14ac:dyDescent="0.3">
      <c r="I15" s="11" t="s">
        <v>40</v>
      </c>
      <c r="J15" s="12" t="s">
        <v>41</v>
      </c>
      <c r="K15" s="12"/>
      <c r="L15" s="12"/>
      <c r="M15" s="12"/>
      <c r="N15" s="7">
        <f>COUNTIF(E1:E9,"Diabetes")</f>
        <v>3</v>
      </c>
      <c r="O15" s="23"/>
    </row>
    <row r="16" spans="1:15" x14ac:dyDescent="0.3">
      <c r="I16" s="7" t="s">
        <v>42</v>
      </c>
      <c r="J16" s="8" t="s">
        <v>43</v>
      </c>
      <c r="K16" s="8"/>
      <c r="L16" s="8"/>
      <c r="M16" s="8"/>
      <c r="N16" s="7">
        <f>COUNTIF(H1:H9,H3)</f>
        <v>2</v>
      </c>
      <c r="O16" s="23"/>
    </row>
    <row r="19" spans="9:17" x14ac:dyDescent="0.3">
      <c r="I19" s="15" t="s">
        <v>45</v>
      </c>
      <c r="J19" s="6"/>
      <c r="K19" s="6"/>
      <c r="L19" s="6"/>
      <c r="M19" s="6"/>
      <c r="N19" s="6"/>
      <c r="O19" s="5"/>
    </row>
    <row r="20" spans="9:17" x14ac:dyDescent="0.3">
      <c r="I20" s="6"/>
      <c r="J20" s="6"/>
      <c r="K20" s="6"/>
      <c r="L20" s="6"/>
      <c r="M20" s="6"/>
      <c r="N20" s="6"/>
      <c r="O20" s="5"/>
    </row>
    <row r="22" spans="9:17" x14ac:dyDescent="0.3">
      <c r="I22" s="11" t="s">
        <v>36</v>
      </c>
      <c r="J22" s="18" t="s">
        <v>46</v>
      </c>
      <c r="K22" s="19"/>
      <c r="L22" s="20"/>
      <c r="M22" s="17">
        <f>SUMIF(F1:F9,F9,G1:G9)</f>
        <v>2550</v>
      </c>
      <c r="N22" s="16"/>
      <c r="O22" s="16"/>
      <c r="P22" s="21"/>
      <c r="Q22" s="21"/>
    </row>
    <row r="23" spans="9:17" x14ac:dyDescent="0.3">
      <c r="I23" s="11" t="s">
        <v>38</v>
      </c>
      <c r="J23" s="18" t="s">
        <v>47</v>
      </c>
      <c r="K23" s="19"/>
      <c r="L23" s="20"/>
      <c r="M23" s="17">
        <f>SUMIF(I1:I9,I9,G1:G9)</f>
        <v>2650</v>
      </c>
      <c r="N23" s="16"/>
      <c r="O23" s="16"/>
      <c r="P23" s="21"/>
      <c r="Q23" s="21"/>
    </row>
    <row r="24" spans="9:17" x14ac:dyDescent="0.3">
      <c r="I24" s="7" t="s">
        <v>40</v>
      </c>
      <c r="J24" s="18" t="s">
        <v>48</v>
      </c>
      <c r="K24" s="19"/>
      <c r="L24" s="19"/>
      <c r="M24" s="19"/>
      <c r="N24" s="20"/>
      <c r="O24" s="17">
        <f>SUMIF(I1:I9,I6,G1:G9)</f>
        <v>1700</v>
      </c>
      <c r="P24" s="22"/>
      <c r="Q24" s="22"/>
    </row>
    <row r="25" spans="9:17" x14ac:dyDescent="0.3">
      <c r="I25" s="16" t="s">
        <v>42</v>
      </c>
      <c r="J25" s="18" t="s">
        <v>49</v>
      </c>
      <c r="K25" s="19"/>
      <c r="L25" s="19"/>
      <c r="M25" s="19"/>
      <c r="N25" s="20"/>
      <c r="O25" s="16"/>
      <c r="P25" s="21"/>
      <c r="Q25" s="21"/>
    </row>
    <row r="26" spans="9:17" x14ac:dyDescent="0.3">
      <c r="I26" s="16"/>
      <c r="J26" s="16"/>
      <c r="K26" s="16"/>
      <c r="L26" s="16"/>
      <c r="M26" s="16"/>
      <c r="N26" s="16"/>
      <c r="O26" s="16"/>
      <c r="P26" s="21"/>
      <c r="Q26" s="21"/>
    </row>
    <row r="27" spans="9:17" x14ac:dyDescent="0.3">
      <c r="I27" s="16"/>
      <c r="J27" s="16"/>
      <c r="K27" s="16"/>
      <c r="L27" s="16"/>
      <c r="M27" s="16"/>
      <c r="N27" s="16"/>
      <c r="O27" s="16"/>
      <c r="P27" s="21"/>
      <c r="Q27" s="21"/>
    </row>
    <row r="28" spans="9:17" x14ac:dyDescent="0.3">
      <c r="I28" s="16"/>
      <c r="J28" s="16"/>
      <c r="K28" s="16"/>
      <c r="L28" s="16"/>
      <c r="M28" s="16"/>
      <c r="N28" s="16"/>
      <c r="O28" s="16"/>
      <c r="P28" s="21"/>
      <c r="Q28" s="21"/>
    </row>
    <row r="30" spans="9:17" x14ac:dyDescent="0.3">
      <c r="J30" s="15" t="s">
        <v>50</v>
      </c>
      <c r="K30" s="6"/>
      <c r="L30" s="6"/>
      <c r="M30" s="6"/>
      <c r="N30" s="6"/>
      <c r="O30" s="6"/>
    </row>
    <row r="31" spans="9:17" x14ac:dyDescent="0.3">
      <c r="J31" s="6"/>
      <c r="K31" s="6"/>
      <c r="L31" s="6"/>
      <c r="M31" s="6"/>
      <c r="N31" s="6"/>
      <c r="O31" s="6"/>
    </row>
    <row r="33" spans="8:17" x14ac:dyDescent="0.3">
      <c r="I33" s="7" t="s">
        <v>36</v>
      </c>
      <c r="J33" s="18" t="s">
        <v>51</v>
      </c>
      <c r="K33" s="19"/>
      <c r="L33" s="19"/>
      <c r="M33" s="20"/>
      <c r="O33" s="9" t="str">
        <f>VLOOKUP(A7,A1:I9,6,FALSE)</f>
        <v>Dr. Sharma</v>
      </c>
    </row>
    <row r="34" spans="8:17" x14ac:dyDescent="0.3">
      <c r="I34" s="7" t="s">
        <v>38</v>
      </c>
      <c r="J34" s="18" t="s">
        <v>52</v>
      </c>
      <c r="K34" s="19"/>
      <c r="L34" s="20"/>
      <c r="M34" s="16"/>
      <c r="N34" s="16"/>
      <c r="O34" s="7">
        <f>VLOOKUP(B8,B1:I9,6,)</f>
        <v>450</v>
      </c>
    </row>
    <row r="35" spans="8:17" x14ac:dyDescent="0.3">
      <c r="I35" s="7" t="s">
        <v>40</v>
      </c>
      <c r="J35" s="18" t="s">
        <v>53</v>
      </c>
      <c r="K35" s="19"/>
      <c r="L35" s="19"/>
      <c r="M35" s="20"/>
      <c r="N35" s="16"/>
      <c r="O35" s="7">
        <f>MATCH("BP",E1:E9,0)</f>
        <v>4</v>
      </c>
      <c r="Q35" t="s">
        <v>33</v>
      </c>
    </row>
    <row r="36" spans="8:17" x14ac:dyDescent="0.3">
      <c r="I36" s="16"/>
      <c r="J36" s="16"/>
      <c r="K36" s="16"/>
      <c r="L36" s="16"/>
      <c r="M36" s="16"/>
      <c r="N36" s="16"/>
      <c r="O36" s="16"/>
    </row>
    <row r="37" spans="8:17" x14ac:dyDescent="0.3">
      <c r="I37" s="16"/>
      <c r="J37" s="16"/>
      <c r="K37" s="16"/>
      <c r="L37" s="16"/>
      <c r="M37" s="16"/>
      <c r="N37" s="16"/>
      <c r="O37" s="16"/>
    </row>
    <row r="38" spans="8:17" x14ac:dyDescent="0.3">
      <c r="I38" s="16"/>
      <c r="J38" s="16"/>
      <c r="K38" s="16"/>
      <c r="L38" s="16"/>
      <c r="M38" s="16"/>
      <c r="N38" s="16"/>
      <c r="O38" s="16"/>
    </row>
    <row r="39" spans="8:17" x14ac:dyDescent="0.3">
      <c r="I39" s="16"/>
      <c r="J39" s="16"/>
      <c r="K39" s="16"/>
      <c r="L39" s="16"/>
      <c r="M39" s="16"/>
      <c r="N39" s="16"/>
      <c r="O39" s="16"/>
    </row>
    <row r="40" spans="8:17" x14ac:dyDescent="0.3">
      <c r="I40" s="16"/>
      <c r="J40" s="16"/>
      <c r="K40" s="16"/>
      <c r="L40" s="16"/>
      <c r="M40" s="16"/>
      <c r="N40" s="16"/>
      <c r="O40" s="16"/>
    </row>
    <row r="42" spans="8:17" x14ac:dyDescent="0.3">
      <c r="I42" s="24" t="s">
        <v>54</v>
      </c>
      <c r="J42" s="6"/>
      <c r="K42" s="6"/>
      <c r="L42" s="6"/>
      <c r="M42" s="6"/>
      <c r="N42" s="6"/>
      <c r="O42" s="6"/>
    </row>
    <row r="43" spans="8:17" x14ac:dyDescent="0.3">
      <c r="I43" s="6"/>
      <c r="J43" s="6"/>
      <c r="K43" s="6"/>
      <c r="L43" s="6"/>
      <c r="M43" s="6"/>
      <c r="N43" s="6"/>
      <c r="O43" s="6"/>
    </row>
    <row r="44" spans="8:17" x14ac:dyDescent="0.3">
      <c r="I44" s="6"/>
      <c r="J44" s="6"/>
      <c r="K44" s="6"/>
      <c r="L44" s="6"/>
      <c r="M44" s="6"/>
      <c r="N44" s="6"/>
      <c r="O44" s="6"/>
    </row>
    <row r="45" spans="8:17" x14ac:dyDescent="0.3">
      <c r="I45" s="6"/>
      <c r="J45" s="6"/>
      <c r="K45" s="6"/>
      <c r="L45" s="6"/>
      <c r="M45" s="6"/>
      <c r="N45" s="6"/>
      <c r="O45" s="6"/>
    </row>
    <row r="47" spans="8:17" x14ac:dyDescent="0.3">
      <c r="H47" s="11" t="s">
        <v>36</v>
      </c>
      <c r="I47" s="18" t="s">
        <v>55</v>
      </c>
      <c r="J47" s="19"/>
      <c r="K47" s="19"/>
      <c r="L47" s="20"/>
      <c r="N47" s="16"/>
      <c r="O47" s="7">
        <f>DAY(H2)</f>
        <v>1</v>
      </c>
    </row>
    <row r="48" spans="8:17" x14ac:dyDescent="0.3">
      <c r="H48" s="11" t="s">
        <v>38</v>
      </c>
      <c r="I48" s="18" t="s">
        <v>56</v>
      </c>
      <c r="J48" s="19"/>
      <c r="K48" s="19"/>
      <c r="L48" s="20"/>
      <c r="M48" s="16"/>
      <c r="N48" s="16"/>
      <c r="O48" s="16"/>
    </row>
    <row r="49" spans="8:15" x14ac:dyDescent="0.3">
      <c r="H49" s="11" t="s">
        <v>40</v>
      </c>
      <c r="I49" s="18" t="s">
        <v>57</v>
      </c>
      <c r="J49" s="19"/>
      <c r="K49" s="19"/>
      <c r="L49" s="20"/>
      <c r="M49" s="16"/>
      <c r="N49" s="16"/>
      <c r="O49" s="16"/>
    </row>
    <row r="50" spans="8:15" x14ac:dyDescent="0.3">
      <c r="H50" s="16"/>
      <c r="I50" s="16"/>
      <c r="J50" s="16"/>
      <c r="K50" s="16"/>
      <c r="L50" s="16"/>
      <c r="M50" s="16"/>
      <c r="N50" s="16"/>
      <c r="O50" s="16"/>
    </row>
    <row r="51" spans="8:15" x14ac:dyDescent="0.3">
      <c r="H51" s="16"/>
      <c r="I51" s="16"/>
      <c r="J51" s="16"/>
      <c r="K51" s="16"/>
      <c r="L51" s="16"/>
      <c r="M51" s="16"/>
      <c r="N51" s="16"/>
      <c r="O51" s="16"/>
    </row>
    <row r="52" spans="8:15" x14ac:dyDescent="0.3">
      <c r="H52" s="16"/>
      <c r="I52" s="16"/>
      <c r="J52" s="16"/>
      <c r="K52" s="16"/>
      <c r="L52" s="16"/>
      <c r="M52" s="16"/>
      <c r="N52" s="16"/>
      <c r="O52" s="16"/>
    </row>
    <row r="53" spans="8:15" x14ac:dyDescent="0.3">
      <c r="H53" s="16"/>
      <c r="I53" s="16"/>
      <c r="J53" s="16"/>
      <c r="K53" s="16"/>
      <c r="L53" s="16"/>
      <c r="M53" s="16"/>
      <c r="N53" s="16"/>
      <c r="O53" s="16"/>
    </row>
    <row r="54" spans="8:15" x14ac:dyDescent="0.3">
      <c r="H54" s="25"/>
      <c r="I54" s="25"/>
      <c r="J54" s="25"/>
      <c r="K54" s="25"/>
      <c r="L54" s="25"/>
      <c r="M54" s="25"/>
      <c r="N54" s="25"/>
      <c r="O54" s="25"/>
    </row>
    <row r="55" spans="8:15" x14ac:dyDescent="0.3">
      <c r="H55" s="21"/>
      <c r="I55" s="21"/>
      <c r="J55" s="21"/>
      <c r="K55" s="21"/>
      <c r="L55" s="21"/>
      <c r="M55" s="21"/>
      <c r="N55" s="21"/>
      <c r="O55" s="21"/>
    </row>
    <row r="56" spans="8:15" x14ac:dyDescent="0.3">
      <c r="H56" s="26" t="s">
        <v>58</v>
      </c>
      <c r="I56" s="26"/>
      <c r="J56" s="26"/>
      <c r="K56" s="26"/>
      <c r="L56" s="26"/>
      <c r="M56" s="26"/>
      <c r="N56" s="26"/>
      <c r="O56" s="26"/>
    </row>
    <row r="57" spans="8:15" x14ac:dyDescent="0.3">
      <c r="H57" s="26"/>
      <c r="I57" s="26"/>
      <c r="J57" s="26"/>
      <c r="K57" s="26"/>
      <c r="L57" s="26"/>
      <c r="M57" s="26"/>
      <c r="N57" s="26"/>
      <c r="O57" s="26"/>
    </row>
    <row r="58" spans="8:15" x14ac:dyDescent="0.3">
      <c r="H58" s="26"/>
      <c r="I58" s="26"/>
      <c r="J58" s="26"/>
      <c r="K58" s="26"/>
      <c r="L58" s="26"/>
      <c r="M58" s="26"/>
      <c r="N58" s="26"/>
      <c r="O58" s="26"/>
    </row>
    <row r="59" spans="8:15" x14ac:dyDescent="0.3">
      <c r="H59" s="21"/>
      <c r="I59" s="21"/>
      <c r="J59" s="21"/>
      <c r="K59" s="21"/>
      <c r="L59" s="21"/>
      <c r="M59" s="21"/>
      <c r="N59" s="21"/>
      <c r="O59" s="21"/>
    </row>
    <row r="60" spans="8:15" x14ac:dyDescent="0.3">
      <c r="H60" s="16"/>
      <c r="I60" s="16"/>
      <c r="J60" s="16"/>
      <c r="K60" s="16"/>
      <c r="L60" s="16"/>
      <c r="M60" s="16"/>
      <c r="N60" s="16"/>
      <c r="O60" s="16"/>
    </row>
    <row r="61" spans="8:15" x14ac:dyDescent="0.3">
      <c r="H61" s="16"/>
      <c r="I61" s="16"/>
      <c r="J61" s="16"/>
      <c r="K61" s="16"/>
      <c r="L61" s="16"/>
      <c r="M61" s="16"/>
      <c r="N61" s="16"/>
      <c r="O61" s="16"/>
    </row>
    <row r="62" spans="8:15" x14ac:dyDescent="0.3">
      <c r="H62" s="16"/>
      <c r="I62" s="16"/>
      <c r="J62" s="16"/>
      <c r="K62" s="16"/>
      <c r="L62" s="16"/>
      <c r="M62" s="16"/>
      <c r="N62" s="16"/>
      <c r="O62" s="16"/>
    </row>
    <row r="63" spans="8:15" x14ac:dyDescent="0.3">
      <c r="H63" s="16"/>
      <c r="I63" s="16"/>
      <c r="J63" s="16"/>
      <c r="K63" s="16"/>
      <c r="L63" s="16"/>
      <c r="M63" s="16"/>
      <c r="N63" s="16"/>
      <c r="O63" s="16"/>
    </row>
    <row r="64" spans="8:15" x14ac:dyDescent="0.3">
      <c r="H64" s="16"/>
      <c r="I64" s="16"/>
      <c r="J64" s="16"/>
      <c r="K64" s="16"/>
      <c r="L64" s="16"/>
      <c r="M64" s="16"/>
      <c r="N64" s="16"/>
      <c r="O64" s="16"/>
    </row>
    <row r="65" spans="8:15" x14ac:dyDescent="0.3">
      <c r="H65" s="16"/>
      <c r="I65" s="16"/>
      <c r="J65" s="16"/>
      <c r="K65" s="16"/>
      <c r="L65" s="16"/>
      <c r="M65" s="16"/>
      <c r="N65" s="16"/>
      <c r="O65" s="16"/>
    </row>
  </sheetData>
  <mergeCells count="18">
    <mergeCell ref="H56:O58"/>
    <mergeCell ref="J35:M35"/>
    <mergeCell ref="I42:O45"/>
    <mergeCell ref="I47:L47"/>
    <mergeCell ref="I48:L48"/>
    <mergeCell ref="I49:L49"/>
    <mergeCell ref="J23:L23"/>
    <mergeCell ref="J24:N24"/>
    <mergeCell ref="J25:N25"/>
    <mergeCell ref="J30:O31"/>
    <mergeCell ref="J33:M33"/>
    <mergeCell ref="J34:L34"/>
    <mergeCell ref="J13:L13"/>
    <mergeCell ref="J14:M14"/>
    <mergeCell ref="J16:M16"/>
    <mergeCell ref="I10:N11"/>
    <mergeCell ref="I19:N20"/>
    <mergeCell ref="J22:L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Sanwal</dc:creator>
  <cp:lastModifiedBy>Harsh Sanwal</cp:lastModifiedBy>
  <dcterms:created xsi:type="dcterms:W3CDTF">2026-04-10T05:37:32Z</dcterms:created>
  <dcterms:modified xsi:type="dcterms:W3CDTF">2026-04-10T08:14:09Z</dcterms:modified>
</cp:coreProperties>
</file>